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APPOINTMENTS_FLAT" sheetId="2" state="visible" r:id="rId2"/>
    <sheet xmlns:r="http://schemas.openxmlformats.org/officeDocument/2006/relationships" name="BREED_REFERENCE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QUERY_AREA" sheetId="5" state="visible" r:id="rId5"/>
    <sheet xmlns:r="http://schemas.openxmlformats.org/officeDocument/2006/relationships" name="PIVOT_SUMMARY" sheetId="6" state="visible" r:id="rId6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$0.00"/>
  </numFmts>
  <fonts count="5">
    <font>
      <name val="Carlito"/>
      <sz val="11"/>
    </font>
    <font>
      <name val="Carlito"/>
      <b val="1"/>
      <color rgb="00FFFFFF"/>
      <sz val="11"/>
    </font>
    <font>
      <name val="Carlito"/>
      <b val="1"/>
      <color rgb="000F766E"/>
      <sz val="16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9EAF7"/>
      </patternFill>
    </fill>
  </fills>
  <borders count="3">
    <border/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/>
  </cellStyles>
  <dxfs count="1">
    <dxf>
      <font>
        <color rgb="00991B1B"/>
      </font>
      <fill>
        <patternFill patternType="solid">
          <bgColor rgb="00FECAC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ppointmentsFlatTable" displayName="AppointmentsFlatTable" ref="A1:R25" headerRowCount="1">
  <tableColumns count="18">
    <tableColumn id="1" name="AppointmentID"/>
    <tableColumn id="2" name="AppointmentDate"/>
    <tableColumn id="3" name="AppointmentTime"/>
    <tableColumn id="4" name="PetName"/>
    <tableColumn id="5" name="OwnerName"/>
    <tableColumn id="6" name="OwnerEmail"/>
    <tableColumn id="7" name="BreedName"/>
    <tableColumn id="8" name="WeightKg"/>
    <tableColumn id="9" name="ServiceType"/>
    <tableColumn id="10" name="AppointmentStatus"/>
    <tableColumn id="11" name="ReminderSent"/>
    <tableColumn id="12" name="PaymentAmount"/>
    <tableColumn id="13" name="Notes"/>
    <tableColumn id="14" name="AnimalType"/>
    <tableColumn id="15" name="AvgHealthyWeightKg"/>
    <tableColumn id="16" name="OverweightThresholdKg"/>
    <tableColumn id="17" name="WeightStatus"/>
    <tableColumn id="18" name="PetOwnerKey"/>
  </tableColumns>
  <tableStyleInfo name="TableStyleMedium2" showRowStripes="1"/>
</table>
</file>

<file path=xl/tables/table2.xml><?xml version="1.0" encoding="utf-8"?>
<table xmlns="http://schemas.openxmlformats.org/spreadsheetml/2006/main" id="2" name="BreedReferenceTable" displayName="BreedReferenceTable" ref="A1:E20" headerRowCount="1">
  <tableColumns count="5">
    <tableColumn id="1" name="BreedName"/>
    <tableColumn id="2" name="AnimalType"/>
    <tableColumn id="3" name="SizeCategory"/>
    <tableColumn id="4" name="AvgHealthyWeightKg"/>
    <tableColumn id="5" name="OverweightThresholdK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style="1" min="1" max="1"/>
  </cols>
  <sheetData>
    <row r="1">
      <c r="A1" s="16" t="inlineStr">
        <is>
          <t>Lab 03 — PetVax Spreadsheet Starter</t>
        </is>
      </c>
    </row>
    <row r="2">
      <c r="A2" s="17" t="str"/>
    </row>
    <row r="3">
      <c r="A3" s="17" t="inlineStr">
        <is>
          <t>Use this workbook for Lab 03. Start in APPOINTMENTS_FLAT.</t>
        </is>
      </c>
    </row>
    <row r="4">
      <c r="A4" s="17" t="inlineStr">
        <is>
          <t>You will add lookup formulas, create filters, build a pivot summary, and intentionally create flat-file problems.</t>
        </is>
      </c>
    </row>
    <row r="5">
      <c r="A5" s="17" t="inlineStr">
        <is>
          <t>Do not turn this into a database yet. The point is to experience why the spreadsheet starts to break.</t>
        </is>
      </c>
    </row>
    <row r="6">
      <c r="A6" s="17" t="str"/>
    </row>
    <row r="7">
      <c r="A7" s="17" t="inlineStr">
        <is>
          <t>Required sheets:</t>
        </is>
      </c>
    </row>
    <row r="8">
      <c r="A8" s="17" t="inlineStr">
        <is>
          <t>APPOINTMENTS_FLAT — main flat-file appointment log</t>
        </is>
      </c>
    </row>
    <row r="9">
      <c r="A9" s="17" t="inlineStr">
        <is>
          <t>BREED_REFERENCE — breed lookup table for animal type and average weights</t>
        </is>
      </c>
    </row>
    <row r="10">
      <c r="A10" s="17" t="inlineStr">
        <is>
          <t>DATA_DICTIONARY — field definitions and intended meaning</t>
        </is>
      </c>
    </row>
    <row r="11">
      <c r="A11" s="17" t="inlineStr">
        <is>
          <t>QUERY_AREA — place your FILTER formula here</t>
        </is>
      </c>
    </row>
    <row r="12">
      <c r="A12" t="inlineStr">
        <is>
          <t>PIVOT_SUMMARY — create your pivot table here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4" customWidth="1" style="1" min="1" max="1"/>
    <col width="14" customWidth="1" style="1" min="2" max="2"/>
    <col width="12" customWidth="1" style="1" min="3" max="3"/>
    <col width="14" customWidth="1" style="1" min="4" max="4"/>
    <col width="20" customWidth="1" style="1" min="5" max="5"/>
    <col width="28" customWidth="1" style="1" min="6" max="6"/>
    <col width="24" customWidth="1" style="1" min="7" max="7"/>
    <col width="12" customWidth="1" style="1" min="8" max="8"/>
    <col width="20" customWidth="1" style="1" min="9" max="9"/>
    <col width="18" customWidth="1" style="1" min="10" max="10"/>
    <col width="14" customWidth="1" style="1" min="11" max="11"/>
    <col width="14" customWidth="1" style="1" min="12" max="12"/>
    <col width="32" customWidth="1" style="1" min="13" max="13"/>
    <col width="14" customWidth="1" style="1" min="14" max="14"/>
    <col width="18" customWidth="1" style="1" min="15" max="15"/>
    <col width="20" customWidth="1" style="1" min="16" max="16"/>
    <col width="22" customWidth="1" style="1" min="17" max="17"/>
    <col width="24" customWidth="1" style="1" min="18" max="18"/>
  </cols>
  <sheetData>
    <row r="1">
      <c r="A1" s="8" t="inlineStr">
        <is>
          <t>AppointmentID</t>
        </is>
      </c>
      <c r="B1" s="8" t="inlineStr">
        <is>
          <t>AppointmentDate</t>
        </is>
      </c>
      <c r="C1" s="8" t="inlineStr">
        <is>
          <t>AppointmentTime</t>
        </is>
      </c>
      <c r="D1" s="8" t="inlineStr">
        <is>
          <t>PetName</t>
        </is>
      </c>
      <c r="E1" s="8" t="inlineStr">
        <is>
          <t>OwnerName</t>
        </is>
      </c>
      <c r="F1" s="8" t="inlineStr">
        <is>
          <t>OwnerEmail</t>
        </is>
      </c>
      <c r="G1" s="8" t="inlineStr">
        <is>
          <t>BreedName</t>
        </is>
      </c>
      <c r="H1" s="8" t="inlineStr">
        <is>
          <t>WeightKg</t>
        </is>
      </c>
      <c r="I1" s="8" t="inlineStr">
        <is>
          <t>ServiceType</t>
        </is>
      </c>
      <c r="J1" s="8" t="inlineStr">
        <is>
          <t>AppointmentStatus</t>
        </is>
      </c>
      <c r="K1" s="8" t="inlineStr">
        <is>
          <t>ReminderSent</t>
        </is>
      </c>
      <c r="L1" s="8" t="inlineStr">
        <is>
          <t>PaymentAmount</t>
        </is>
      </c>
      <c r="M1" s="8" t="inlineStr">
        <is>
          <t>Notes</t>
        </is>
      </c>
      <c r="N1" s="8" t="inlineStr">
        <is>
          <t>AnimalType</t>
        </is>
      </c>
      <c r="O1" s="8" t="inlineStr">
        <is>
          <t>AvgHealthyWeightKg</t>
        </is>
      </c>
      <c r="P1" s="8" t="inlineStr">
        <is>
          <t>OverweightThresholdKg</t>
        </is>
      </c>
      <c r="Q1" s="8" t="inlineStr">
        <is>
          <t>WeightStatus</t>
        </is>
      </c>
      <c r="R1" s="8" t="inlineStr">
        <is>
          <t>PetOwnerKey</t>
        </is>
      </c>
    </row>
    <row r="2">
      <c r="A2" t="n">
        <v>1001</v>
      </c>
      <c r="B2" s="26" t="n">
        <v>46113</v>
      </c>
      <c r="C2" t="inlineStr">
        <is>
          <t>09:00</t>
        </is>
      </c>
      <c r="D2" t="inlineStr">
        <is>
          <t>Buddy</t>
        </is>
      </c>
      <c r="E2" t="inlineStr">
        <is>
          <t>Sarah Perry</t>
        </is>
      </c>
      <c r="F2" t="inlineStr">
        <is>
          <t>sarah.new@example.com</t>
        </is>
      </c>
      <c r="G2" t="inlineStr">
        <is>
          <t>Beagle</t>
        </is>
      </c>
      <c r="H2" s="27" t="n">
        <v>15</v>
      </c>
      <c r="I2" t="inlineStr">
        <is>
          <t>Vaccination</t>
        </is>
      </c>
      <c r="J2" t="inlineStr">
        <is>
          <t>Completed</t>
        </is>
      </c>
      <c r="K2" t="b">
        <v>1</v>
      </c>
      <c r="L2" s="28" t="n">
        <v>64.91</v>
      </c>
      <c r="M2" t="inlineStr">
        <is>
          <t>Rabies booster due</t>
        </is>
      </c>
      <c r="N2">
        <f>XLOOKUP(G2,BREED_REFERENCE!$A$2:$A$20,BREED_REFERENCE!$B$2:$B$20,"Breed not found")</f>
        <v/>
      </c>
      <c r="O2" s="27">
        <f>XLOOKUP(G2,BREED_REFERENCE!$A$2:$A$20,BREED_REFERENCE!$D$2:$D$20,"Breed not found")</f>
        <v/>
      </c>
      <c r="P2" s="27">
        <f>XLOOKUP(G2,BREED_REFERENCE!$A$2:$A$20,BREED_REFERENCE!$E$2:$E$20,"Breed not found")</f>
        <v/>
      </c>
      <c r="Q2">
        <f>IF(H2&gt;P2,"Above breed range","Within/under breed range")</f>
        <v/>
      </c>
      <c r="R2">
        <f>D2&amp;" | "&amp;E2</f>
        <v/>
      </c>
    </row>
    <row r="3">
      <c r="A3" t="n">
        <v>1002</v>
      </c>
      <c r="B3" s="26" t="n">
        <v>46113</v>
      </c>
      <c r="C3" t="inlineStr">
        <is>
          <t>09:30</t>
        </is>
      </c>
      <c r="D3" t="inlineStr">
        <is>
          <t>Misty</t>
        </is>
      </c>
      <c r="E3" t="inlineStr">
        <is>
          <t>Stephanie Foley</t>
        </is>
      </c>
      <c r="F3" t="inlineStr">
        <is>
          <t>stephanie.foley@example.com</t>
        </is>
      </c>
      <c r="G3" t="inlineStr">
        <is>
          <t>Siamese</t>
        </is>
      </c>
      <c r="H3" s="27" t="n">
        <v>4.1</v>
      </c>
      <c r="I3" t="inlineStr">
        <is>
          <t>General Checkup</t>
        </is>
      </c>
      <c r="J3" t="inlineStr">
        <is>
          <t>Completed</t>
        </is>
      </c>
      <c r="K3" t="b">
        <v>1</v>
      </c>
      <c r="L3" s="28" t="n">
        <v>90.29000000000001</v>
      </c>
      <c r="M3" t="inlineStr">
        <is>
          <t>Sneezing; ear wax</t>
        </is>
      </c>
      <c r="N3">
        <f>XLOOKUP(G3,BREED_REFERENCE!$A$2:$A$20,BREED_REFERENCE!$B$2:$B$20,"Breed not found")</f>
        <v/>
      </c>
      <c r="O3" s="27">
        <f>XLOOKUP(G3,BREED_REFERENCE!$A$2:$A$20,BREED_REFERENCE!$D$2:$D$20,"Breed not found")</f>
        <v/>
      </c>
      <c r="P3" s="27">
        <f>XLOOKUP(G3,BREED_REFERENCE!$A$2:$A$20,BREED_REFERENCE!$E$2:$E$20,"Breed not found")</f>
        <v/>
      </c>
      <c r="Q3">
        <f>IF(H3&gt;P3,"Above breed range","Within/under breed range")</f>
        <v/>
      </c>
      <c r="R3">
        <f>D3&amp;" | "&amp;E3</f>
        <v/>
      </c>
    </row>
    <row r="4">
      <c r="A4" t="n">
        <v>1003</v>
      </c>
      <c r="B4" s="26" t="n">
        <v>46113</v>
      </c>
      <c r="C4" t="inlineStr">
        <is>
          <t>10:15</t>
        </is>
      </c>
      <c r="D4" t="inlineStr">
        <is>
          <t>Charlie</t>
        </is>
      </c>
      <c r="E4" t="inlineStr">
        <is>
          <t>Barry Jones</t>
        </is>
      </c>
      <c r="F4" t="inlineStr">
        <is>
          <t>barry.jones@example.com</t>
        </is>
      </c>
      <c r="G4" t="inlineStr">
        <is>
          <t>Labrador Retriever</t>
        </is>
      </c>
      <c r="H4" s="27" t="n">
        <v>34</v>
      </c>
      <c r="I4" t="inlineStr">
        <is>
          <t>Vaccination</t>
        </is>
      </c>
      <c r="J4" t="inlineStr">
        <is>
          <t>Completed</t>
        </is>
      </c>
      <c r="K4" t="b">
        <v>0</v>
      </c>
      <c r="L4" s="28" t="n">
        <v>64.91</v>
      </c>
      <c r="M4" t="inlineStr">
        <is>
          <t>Why PetName alone is a bad identifier: two pets can share the same name, so the clinic needs a stable primary key such as PetID to tell one Charlie from another.</t>
        </is>
      </c>
      <c r="N4">
        <f>XLOOKUP(G4,BREED_REFERENCE!$A$2:$A$20,BREED_REFERENCE!$B$2:$B$20,"Breed not found")</f>
        <v/>
      </c>
      <c r="O4" s="27">
        <f>XLOOKUP(G4,BREED_REFERENCE!$A$2:$A$20,BREED_REFERENCE!$D$2:$D$20,"Breed not found")</f>
        <v/>
      </c>
      <c r="P4" s="27">
        <f>XLOOKUP(G4,BREED_REFERENCE!$A$2:$A$20,BREED_REFERENCE!$E$2:$E$20,"Breed not found")</f>
        <v/>
      </c>
      <c r="Q4">
        <f>IF(H4&gt;P4,"Above breed range","Within/under breed range")</f>
        <v/>
      </c>
      <c r="R4">
        <f>D4&amp;" | "&amp;E4</f>
        <v/>
      </c>
    </row>
    <row r="5">
      <c r="A5" t="n">
        <v>1004</v>
      </c>
      <c r="B5" s="26" t="n">
        <v>46113</v>
      </c>
      <c r="C5" t="inlineStr">
        <is>
          <t>11:00</t>
        </is>
      </c>
      <c r="D5" t="inlineStr">
        <is>
          <t>Charlie</t>
        </is>
      </c>
      <c r="E5" t="inlineStr">
        <is>
          <t>Angela Garcia</t>
        </is>
      </c>
      <c r="F5" t="inlineStr">
        <is>
          <t>angela.garcia@example.com</t>
        </is>
      </c>
      <c r="G5" t="inlineStr">
        <is>
          <t>Beagle</t>
        </is>
      </c>
      <c r="H5" s="27" t="n">
        <v>11.5</v>
      </c>
      <c r="I5" t="inlineStr">
        <is>
          <t>Dental Cleaning</t>
        </is>
      </c>
      <c r="J5" t="inlineStr">
        <is>
          <t>Completed</t>
        </is>
      </c>
      <c r="K5" t="b">
        <v>1</v>
      </c>
      <c r="L5" s="28" t="n">
        <v>123.32</v>
      </c>
      <c r="M5" t="inlineStr">
        <is>
          <t>Different Charlie</t>
        </is>
      </c>
      <c r="N5">
        <f>XLOOKUP(G5,BREED_REFERENCE!$A$2:$A$20,BREED_REFERENCE!$B$2:$B$20,"Breed not found")</f>
        <v/>
      </c>
      <c r="O5" s="27">
        <f>XLOOKUP(G5,BREED_REFERENCE!$A$2:$A$20,BREED_REFERENCE!$D$2:$D$20,"Breed not found")</f>
        <v/>
      </c>
      <c r="P5" s="27">
        <f>XLOOKUP(G5,BREED_REFERENCE!$A$2:$A$20,BREED_REFERENCE!$E$2:$E$20,"Breed not found")</f>
        <v/>
      </c>
      <c r="Q5">
        <f>IF(H5&gt;P5,"Above breed range","Within/under breed range")</f>
        <v/>
      </c>
      <c r="R5">
        <f>D5&amp;" | "&amp;E5</f>
        <v/>
      </c>
    </row>
    <row r="6">
      <c r="A6" t="n">
        <v>1005</v>
      </c>
      <c r="B6" s="26" t="n">
        <v>46113</v>
      </c>
      <c r="C6" t="inlineStr">
        <is>
          <t>11:30</t>
        </is>
      </c>
      <c r="D6" t="inlineStr">
        <is>
          <t>Bandit</t>
        </is>
      </c>
      <c r="E6" t="inlineStr">
        <is>
          <t>Sarah Perry</t>
        </is>
      </c>
      <c r="F6" t="inlineStr">
        <is>
          <t>sarah.perry@example.com</t>
        </is>
      </c>
      <c r="G6" t="inlineStr">
        <is>
          <t>Yorkshire Terrier</t>
        </is>
      </c>
      <c r="H6" s="27" t="n">
        <v>4.9</v>
      </c>
      <c r="I6" t="inlineStr">
        <is>
          <t>Dental Cleaning</t>
        </is>
      </c>
      <c r="J6" t="inlineStr">
        <is>
          <t>Completed</t>
        </is>
      </c>
      <c r="K6" t="b">
        <v>1</v>
      </c>
      <c r="L6" s="28" t="n">
        <v>123.32</v>
      </c>
      <c r="M6" t="inlineStr">
        <is>
          <t>Sarah owns more than one pet</t>
        </is>
      </c>
      <c r="N6">
        <f>XLOOKUP(G6,BREED_REFERENCE!$A$2:$A$20,BREED_REFERENCE!$B$2:$B$20,"Breed not found")</f>
        <v/>
      </c>
      <c r="O6" s="27">
        <f>XLOOKUP(G6,BREED_REFERENCE!$A$2:$A$20,BREED_REFERENCE!$D$2:$D$20,"Breed not found")</f>
        <v/>
      </c>
      <c r="P6" s="27">
        <f>XLOOKUP(G6,BREED_REFERENCE!$A$2:$A$20,BREED_REFERENCE!$E$2:$E$20,"Breed not found")</f>
        <v/>
      </c>
      <c r="Q6">
        <f>IF(H6&gt;P6,"Above breed range","Within/under breed range")</f>
        <v/>
      </c>
      <c r="R6">
        <f>D6&amp;" | "&amp;E6</f>
        <v/>
      </c>
    </row>
    <row r="7">
      <c r="A7" t="n">
        <v>1006</v>
      </c>
      <c r="B7" s="26" t="n">
        <v>46113</v>
      </c>
      <c r="C7" t="inlineStr">
        <is>
          <t>12:00</t>
        </is>
      </c>
      <c r="D7" t="inlineStr">
        <is>
          <t>Mango</t>
        </is>
      </c>
      <c r="E7" t="inlineStr">
        <is>
          <t>Thomas Hernandez</t>
        </is>
      </c>
      <c r="F7" t="inlineStr">
        <is>
          <t>thomas.hernandez@example.com</t>
        </is>
      </c>
      <c r="G7" t="inlineStr">
        <is>
          <t>Maine Coon</t>
        </is>
      </c>
      <c r="H7" s="27" t="n">
        <v>8.800000000000001</v>
      </c>
      <c r="I7" t="inlineStr">
        <is>
          <t>Vaccination</t>
        </is>
      </c>
      <c r="J7" t="inlineStr">
        <is>
          <t>Scheduled</t>
        </is>
      </c>
      <c r="K7" t="b">
        <v>0</v>
      </c>
      <c r="L7" s="28" t="n">
        <v>64.91</v>
      </c>
      <c r="M7" t="inlineStr">
        <is>
          <t>Rabies due</t>
        </is>
      </c>
      <c r="N7">
        <f>XLOOKUP(G7,BREED_REFERENCE!$A$2:$A$20,BREED_REFERENCE!$B$2:$B$20,"Breed not found")</f>
        <v/>
      </c>
      <c r="O7" s="27">
        <f>XLOOKUP(G7,BREED_REFERENCE!$A$2:$A$20,BREED_REFERENCE!$D$2:$D$20,"Breed not found")</f>
        <v/>
      </c>
      <c r="P7" s="27">
        <f>XLOOKUP(G7,BREED_REFERENCE!$A$2:$A$20,BREED_REFERENCE!$E$2:$E$20,"Breed not found")</f>
        <v/>
      </c>
      <c r="Q7">
        <f>IF(H7&gt;P7,"Above breed range","Within/under breed range")</f>
        <v/>
      </c>
      <c r="R7">
        <f>D7&amp;" | "&amp;E7</f>
        <v/>
      </c>
    </row>
    <row r="8">
      <c r="A8" t="n">
        <v>1007</v>
      </c>
      <c r="B8" s="26" t="n">
        <v>46113</v>
      </c>
      <c r="C8" t="inlineStr">
        <is>
          <t>13:00</t>
        </is>
      </c>
      <c r="D8" t="inlineStr">
        <is>
          <t>Coco</t>
        </is>
      </c>
      <c r="E8" t="inlineStr">
        <is>
          <t>Alex Rivera</t>
        </is>
      </c>
      <c r="F8" t="inlineStr">
        <is>
          <t>alex.rivera@example.com</t>
        </is>
      </c>
      <c r="G8" t="inlineStr">
        <is>
          <t>Poodle</t>
        </is>
      </c>
      <c r="H8" s="27" t="n">
        <v>11</v>
      </c>
      <c r="I8" t="inlineStr">
        <is>
          <t>Vaccination</t>
        </is>
      </c>
      <c r="J8" t="inlineStr">
        <is>
          <t>Completed</t>
        </is>
      </c>
      <c r="K8" t="b">
        <v>1</v>
      </c>
      <c r="L8" s="28" t="n">
        <v>64.91</v>
      </c>
      <c r="M8" t="inlineStr">
        <is>
          <t>Co-owner 1</t>
        </is>
      </c>
      <c r="N8">
        <f>XLOOKUP(G8,BREED_REFERENCE!$A$2:$A$20,BREED_REFERENCE!$B$2:$B$20,"Breed not found")</f>
        <v/>
      </c>
      <c r="O8" s="27">
        <f>XLOOKUP(G8,BREED_REFERENCE!$A$2:$A$20,BREED_REFERENCE!$D$2:$D$20,"Breed not found")</f>
        <v/>
      </c>
      <c r="P8" s="27">
        <f>XLOOKUP(G8,BREED_REFERENCE!$A$2:$A$20,BREED_REFERENCE!$E$2:$E$20,"Breed not found")</f>
        <v/>
      </c>
      <c r="Q8">
        <f>IF(H8&gt;P8,"Above breed range","Within/under breed range")</f>
        <v/>
      </c>
      <c r="R8">
        <f>D8&amp;" | "&amp;E8</f>
        <v/>
      </c>
    </row>
    <row r="9">
      <c r="A9" t="n">
        <v>1008</v>
      </c>
      <c r="B9" s="26" t="n">
        <v>46113</v>
      </c>
      <c r="C9" t="inlineStr">
        <is>
          <t>13:30</t>
        </is>
      </c>
      <c r="D9" t="inlineStr">
        <is>
          <t>Coco</t>
        </is>
      </c>
      <c r="E9" t="inlineStr">
        <is>
          <t>Jordan Rivera</t>
        </is>
      </c>
      <c r="F9" t="inlineStr">
        <is>
          <t>jordan.rivera@example.com</t>
        </is>
      </c>
      <c r="G9" t="inlineStr">
        <is>
          <t>Poodle</t>
        </is>
      </c>
      <c r="H9" s="27" t="n">
        <v>11</v>
      </c>
      <c r="I9" t="inlineStr">
        <is>
          <t>Vaccination</t>
        </is>
      </c>
      <c r="J9" t="inlineStr">
        <is>
          <t>Completed</t>
        </is>
      </c>
      <c r="K9" t="b">
        <v>1</v>
      </c>
      <c r="L9" s="28" t="n">
        <v>64.91</v>
      </c>
      <c r="M9" t="inlineStr">
        <is>
          <t>Co-owner 2</t>
        </is>
      </c>
      <c r="N9">
        <f>XLOOKUP(G9,BREED_REFERENCE!$A$2:$A$20,BREED_REFERENCE!$B$2:$B$20,"Breed not found")</f>
        <v/>
      </c>
      <c r="O9" s="27">
        <f>XLOOKUP(G9,BREED_REFERENCE!$A$2:$A$20,BREED_REFERENCE!$D$2:$D$20,"Breed not found")</f>
        <v/>
      </c>
      <c r="P9" s="27">
        <f>XLOOKUP(G9,BREED_REFERENCE!$A$2:$A$20,BREED_REFERENCE!$E$2:$E$20,"Breed not found")</f>
        <v/>
      </c>
      <c r="Q9">
        <f>IF(H9&gt;P9,"Above breed range","Within/under breed range")</f>
        <v/>
      </c>
      <c r="R9">
        <f>D9&amp;" | "&amp;E9</f>
        <v/>
      </c>
    </row>
    <row r="10">
      <c r="A10" t="n">
        <v>1009</v>
      </c>
      <c r="B10" s="26" t="n">
        <v>46113</v>
      </c>
      <c r="C10" t="inlineStr">
        <is>
          <t>14:00</t>
        </is>
      </c>
      <c r="D10" t="inlineStr">
        <is>
          <t>Luna</t>
        </is>
      </c>
      <c r="E10" t="inlineStr">
        <is>
          <t>Wendy Henry</t>
        </is>
      </c>
      <c r="F10" t="inlineStr">
        <is>
          <t>wendy.henry@example.com</t>
        </is>
      </c>
      <c r="G10" t="inlineStr">
        <is>
          <t>Ragdoll</t>
        </is>
      </c>
      <c r="H10" s="27" t="n">
        <v>7.8</v>
      </c>
      <c r="I10" t="inlineStr">
        <is>
          <t>General Checkup</t>
        </is>
      </c>
      <c r="J10" t="inlineStr">
        <is>
          <t>Completed</t>
        </is>
      </c>
      <c r="K10" t="b">
        <v>1</v>
      </c>
      <c r="L10" s="28" t="n">
        <v>90.29000000000001</v>
      </c>
      <c r="M10" t="inlineStr">
        <is>
          <t>Wendy owns more than one pet</t>
        </is>
      </c>
      <c r="N10">
        <f>XLOOKUP(G10,BREED_REFERENCE!$A$2:$A$20,BREED_REFERENCE!$B$2:$B$20,"Breed not found")</f>
        <v/>
      </c>
      <c r="O10" s="27">
        <f>XLOOKUP(G10,BREED_REFERENCE!$A$2:$A$20,BREED_REFERENCE!$D$2:$D$20,"Breed not found")</f>
        <v/>
      </c>
      <c r="P10" s="27">
        <f>XLOOKUP(G10,BREED_REFERENCE!$A$2:$A$20,BREED_REFERENCE!$E$2:$E$20,"Breed not found")</f>
        <v/>
      </c>
      <c r="Q10">
        <f>IF(H10&gt;P10,"Above breed range","Within/under breed range")</f>
        <v/>
      </c>
      <c r="R10">
        <f>D10&amp;" | "&amp;E10</f>
        <v/>
      </c>
    </row>
    <row r="11">
      <c r="A11" t="n">
        <v>1010</v>
      </c>
      <c r="B11" s="26" t="n">
        <v>46113</v>
      </c>
      <c r="C11" t="inlineStr">
        <is>
          <t>14:30</t>
        </is>
      </c>
      <c r="D11" t="inlineStr">
        <is>
          <t>Max</t>
        </is>
      </c>
      <c r="E11" t="inlineStr">
        <is>
          <t>Jenna Powell</t>
        </is>
      </c>
      <c r="F11" t="inlineStr">
        <is>
          <t>jenna.powell@example.com</t>
        </is>
      </c>
      <c r="G11" t="inlineStr">
        <is>
          <t>Dachshund</t>
        </is>
      </c>
      <c r="H11" s="27" t="n">
        <v>12</v>
      </c>
      <c r="I11" t="inlineStr">
        <is>
          <t>Vaccination</t>
        </is>
      </c>
      <c r="J11" t="inlineStr">
        <is>
          <t>No-show</t>
        </is>
      </c>
      <c r="K11" t="b">
        <v>0</v>
      </c>
      <c r="L11" s="28" t="n">
        <v>0</v>
      </c>
      <c r="M11" t="inlineStr">
        <is>
          <t>Missed appointment</t>
        </is>
      </c>
      <c r="N11">
        <f>XLOOKUP(G11,BREED_REFERENCE!$A$2:$A$20,BREED_REFERENCE!$B$2:$B$20,"Breed not found")</f>
        <v/>
      </c>
      <c r="O11" s="27">
        <f>XLOOKUP(G11,BREED_REFERENCE!$A$2:$A$20,BREED_REFERENCE!$D$2:$D$20,"Breed not found")</f>
        <v/>
      </c>
      <c r="P11" s="27">
        <f>XLOOKUP(G11,BREED_REFERENCE!$A$2:$A$20,BREED_REFERENCE!$E$2:$E$20,"Breed not found")</f>
        <v/>
      </c>
      <c r="Q11">
        <f>IF(H11&gt;P11,"Above breed range","Within/under breed range")</f>
        <v/>
      </c>
      <c r="R11">
        <f>D11&amp;" | "&amp;E11</f>
        <v/>
      </c>
    </row>
    <row r="12">
      <c r="A12" t="n">
        <v>1011</v>
      </c>
      <c r="B12" s="26" t="n">
        <v>46113</v>
      </c>
      <c r="C12" t="inlineStr">
        <is>
          <t>15:00</t>
        </is>
      </c>
      <c r="D12" t="inlineStr">
        <is>
          <t>Bella</t>
        </is>
      </c>
      <c r="E12" t="inlineStr">
        <is>
          <t>Joyce Arnold</t>
        </is>
      </c>
      <c r="F12" t="inlineStr">
        <is>
          <t>joyce.arnold@example.com</t>
        </is>
      </c>
      <c r="G12" t="inlineStr">
        <is>
          <t>Golden Retriever</t>
        </is>
      </c>
      <c r="H12" s="27" t="n">
        <v>31.5</v>
      </c>
      <c r="I12" t="inlineStr">
        <is>
          <t>Vaccination</t>
        </is>
      </c>
      <c r="J12" t="inlineStr">
        <is>
          <t>Completed</t>
        </is>
      </c>
      <c r="K12" t="b">
        <v>1</v>
      </c>
      <c r="L12" s="28" t="n">
        <v>64.91</v>
      </c>
      <c r="N12">
        <f>XLOOKUP(G12,BREED_REFERENCE!$A$2:$A$20,BREED_REFERENCE!$B$2:$B$20,"Breed not found")</f>
        <v/>
      </c>
      <c r="O12" s="27">
        <f>XLOOKUP(G12,BREED_REFERENCE!$A$2:$A$20,BREED_REFERENCE!$D$2:$D$20,"Breed not found")</f>
        <v/>
      </c>
      <c r="P12" s="27">
        <f>XLOOKUP(G12,BREED_REFERENCE!$A$2:$A$20,BREED_REFERENCE!$E$2:$E$20,"Breed not found")</f>
        <v/>
      </c>
      <c r="Q12">
        <f>IF(H12&gt;P12,"Above breed range","Within/under breed range")</f>
        <v/>
      </c>
      <c r="R12">
        <f>D12&amp;" | "&amp;E12</f>
        <v/>
      </c>
    </row>
    <row r="13">
      <c r="A13" t="n">
        <v>1012</v>
      </c>
      <c r="B13" s="26" t="n">
        <v>46113</v>
      </c>
      <c r="C13" t="inlineStr">
        <is>
          <t>15:30</t>
        </is>
      </c>
      <c r="D13" t="inlineStr">
        <is>
          <t>Milo</t>
        </is>
      </c>
      <c r="E13" t="inlineStr">
        <is>
          <t>Wendy Henry</t>
        </is>
      </c>
      <c r="F13" t="inlineStr">
        <is>
          <t>wendy.henry@example.com</t>
        </is>
      </c>
      <c r="G13" t="inlineStr">
        <is>
          <t>French Bulldog</t>
        </is>
      </c>
      <c r="H13" s="27" t="n">
        <v>14.2</v>
      </c>
      <c r="I13" t="inlineStr">
        <is>
          <t>General Checkup</t>
        </is>
      </c>
      <c r="J13" t="inlineStr">
        <is>
          <t>Completed</t>
        </is>
      </c>
      <c r="K13" t="b">
        <v>1</v>
      </c>
      <c r="L13" s="28" t="n">
        <v>90.29000000000001</v>
      </c>
      <c r="M13" t="inlineStr">
        <is>
          <t>Same owner as Luna</t>
        </is>
      </c>
      <c r="N13">
        <f>XLOOKUP(G13,BREED_REFERENCE!$A$2:$A$20,BREED_REFERENCE!$B$2:$B$20,"Breed not found")</f>
        <v/>
      </c>
      <c r="O13" s="27">
        <f>XLOOKUP(G13,BREED_REFERENCE!$A$2:$A$20,BREED_REFERENCE!$D$2:$D$20,"Breed not found")</f>
        <v/>
      </c>
      <c r="P13" s="27">
        <f>XLOOKUP(G13,BREED_REFERENCE!$A$2:$A$20,BREED_REFERENCE!$E$2:$E$20,"Breed not found")</f>
        <v/>
      </c>
      <c r="Q13">
        <f>IF(H13&gt;P13,"Above breed range","Within/under breed range")</f>
        <v/>
      </c>
      <c r="R13">
        <f>D13&amp;" | "&amp;E13</f>
        <v/>
      </c>
    </row>
    <row r="14">
      <c r="A14" t="n">
        <v>1013</v>
      </c>
      <c r="B14" s="26" t="n">
        <v>46113</v>
      </c>
      <c r="C14" t="inlineStr">
        <is>
          <t>16:00</t>
        </is>
      </c>
      <c r="D14" t="inlineStr">
        <is>
          <t>Daisy</t>
        </is>
      </c>
      <c r="E14" t="inlineStr">
        <is>
          <t>William Reid</t>
        </is>
      </c>
      <c r="F14" t="inlineStr">
        <is>
          <t>william.reid@example.com</t>
        </is>
      </c>
      <c r="G14" t="inlineStr">
        <is>
          <t>Boxer</t>
        </is>
      </c>
      <c r="H14" s="27" t="n">
        <v>29</v>
      </c>
      <c r="I14" t="inlineStr">
        <is>
          <t>Emergency Visit</t>
        </is>
      </c>
      <c r="J14" t="inlineStr">
        <is>
          <t>Completed</t>
        </is>
      </c>
      <c r="K14" t="b">
        <v>1</v>
      </c>
      <c r="L14" s="28" t="n">
        <v>439</v>
      </c>
      <c r="M14" t="inlineStr">
        <is>
          <t>Vomiting and lethargy</t>
        </is>
      </c>
      <c r="N14">
        <f>XLOOKUP(G14,BREED_REFERENCE!$A$2:$A$20,BREED_REFERENCE!$B$2:$B$20,"Breed not found")</f>
        <v/>
      </c>
      <c r="O14" s="27">
        <f>XLOOKUP(G14,BREED_REFERENCE!$A$2:$A$20,BREED_REFERENCE!$D$2:$D$20,"Breed not found")</f>
        <v/>
      </c>
      <c r="P14" s="27">
        <f>XLOOKUP(G14,BREED_REFERENCE!$A$2:$A$20,BREED_REFERENCE!$E$2:$E$20,"Breed not found")</f>
        <v/>
      </c>
      <c r="Q14">
        <f>IF(H14&gt;P14,"Above breed range","Within/under breed range")</f>
        <v/>
      </c>
      <c r="R14">
        <f>D14&amp;" | "&amp;E14</f>
        <v/>
      </c>
    </row>
    <row r="15">
      <c r="A15" t="n">
        <v>1014</v>
      </c>
      <c r="B15" s="26" t="n">
        <v>46113</v>
      </c>
      <c r="C15" t="inlineStr">
        <is>
          <t>16:30</t>
        </is>
      </c>
      <c r="D15" t="inlineStr">
        <is>
          <t>Rocky</t>
        </is>
      </c>
      <c r="E15" t="inlineStr">
        <is>
          <t>Tammie Garcia</t>
        </is>
      </c>
      <c r="F15" t="inlineStr">
        <is>
          <t>tammie.garcia@example.com</t>
        </is>
      </c>
      <c r="G15" t="inlineStr">
        <is>
          <t>Bulldog</t>
        </is>
      </c>
      <c r="H15" s="27" t="n">
        <v>27</v>
      </c>
      <c r="I15" t="inlineStr">
        <is>
          <t>General Checkup</t>
        </is>
      </c>
      <c r="J15" t="inlineStr">
        <is>
          <t>Completed</t>
        </is>
      </c>
      <c r="K15" t="b">
        <v>1</v>
      </c>
      <c r="L15" s="28" t="n">
        <v>90.29000000000001</v>
      </c>
      <c r="N15">
        <f>XLOOKUP(G15,BREED_REFERENCE!$A$2:$A$20,BREED_REFERENCE!$B$2:$B$20,"Breed not found")</f>
        <v/>
      </c>
      <c r="O15" s="27">
        <f>XLOOKUP(G15,BREED_REFERENCE!$A$2:$A$20,BREED_REFERENCE!$D$2:$D$20,"Breed not found")</f>
        <v/>
      </c>
      <c r="P15" s="27">
        <f>XLOOKUP(G15,BREED_REFERENCE!$A$2:$A$20,BREED_REFERENCE!$E$2:$E$20,"Breed not found")</f>
        <v/>
      </c>
      <c r="Q15">
        <f>IF(H15&gt;P15,"Above breed range","Within/under breed range")</f>
        <v/>
      </c>
      <c r="R15">
        <f>D15&amp;" | "&amp;E15</f>
        <v/>
      </c>
    </row>
    <row r="16">
      <c r="A16" t="n">
        <v>1015</v>
      </c>
      <c r="B16" s="26" t="n">
        <v>46113</v>
      </c>
      <c r="C16" t="inlineStr">
        <is>
          <t>17:00</t>
        </is>
      </c>
      <c r="D16" t="inlineStr">
        <is>
          <t>Nala</t>
        </is>
      </c>
      <c r="E16" t="inlineStr">
        <is>
          <t>Vanessa Reed</t>
        </is>
      </c>
      <c r="F16" t="inlineStr">
        <is>
          <t>vanessa.reed@example.com</t>
        </is>
      </c>
      <c r="G16" t="inlineStr">
        <is>
          <t>Persian</t>
        </is>
      </c>
      <c r="H16" s="27" t="n">
        <v>5.6</v>
      </c>
      <c r="I16" t="inlineStr">
        <is>
          <t>Grooming - Basic</t>
        </is>
      </c>
      <c r="J16" t="inlineStr">
        <is>
          <t>Completed</t>
        </is>
      </c>
      <c r="K16" t="b">
        <v>1</v>
      </c>
      <c r="L16" s="28" t="n">
        <v>80.36</v>
      </c>
      <c r="N16">
        <f>XLOOKUP(G16,BREED_REFERENCE!$A$2:$A$20,BREED_REFERENCE!$B$2:$B$20,"Breed not found")</f>
        <v/>
      </c>
      <c r="O16" s="27">
        <f>XLOOKUP(G16,BREED_REFERENCE!$A$2:$A$20,BREED_REFERENCE!$D$2:$D$20,"Breed not found")</f>
        <v/>
      </c>
      <c r="P16" s="27">
        <f>XLOOKUP(G16,BREED_REFERENCE!$A$2:$A$20,BREED_REFERENCE!$E$2:$E$20,"Breed not found")</f>
        <v/>
      </c>
      <c r="Q16">
        <f>IF(H16&gt;P16,"Above breed range","Within/under breed range")</f>
        <v/>
      </c>
      <c r="R16">
        <f>D16&amp;" | "&amp;E16</f>
        <v/>
      </c>
    </row>
    <row r="17">
      <c r="A17" t="n">
        <v>1016</v>
      </c>
      <c r="B17" s="26" t="n">
        <v>46113</v>
      </c>
      <c r="C17" t="inlineStr">
        <is>
          <t>17:30</t>
        </is>
      </c>
      <c r="D17" t="inlineStr">
        <is>
          <t>Oreo</t>
        </is>
      </c>
      <c r="E17" t="inlineStr">
        <is>
          <t>Kelly Garcia</t>
        </is>
      </c>
      <c r="F17" t="inlineStr">
        <is>
          <t>kelly.garcia@example.com</t>
        </is>
      </c>
      <c r="G17" t="inlineStr">
        <is>
          <t>Shih Tzu</t>
        </is>
      </c>
      <c r="H17" s="27" t="n">
        <v>5.8</v>
      </c>
      <c r="I17" t="inlineStr">
        <is>
          <t>Vaccination</t>
        </is>
      </c>
      <c r="J17" t="inlineStr">
        <is>
          <t>Completed</t>
        </is>
      </c>
      <c r="K17" t="b">
        <v>1</v>
      </c>
      <c r="L17" s="28" t="n">
        <v>64.91</v>
      </c>
      <c r="N17">
        <f>XLOOKUP(G17,BREED_REFERENCE!$A$2:$A$20,BREED_REFERENCE!$B$2:$B$20,"Breed not found")</f>
        <v/>
      </c>
      <c r="O17" s="27">
        <f>XLOOKUP(G17,BREED_REFERENCE!$A$2:$A$20,BREED_REFERENCE!$D$2:$D$20,"Breed not found")</f>
        <v/>
      </c>
      <c r="P17" s="27">
        <f>XLOOKUP(G17,BREED_REFERENCE!$A$2:$A$20,BREED_REFERENCE!$E$2:$E$20,"Breed not found")</f>
        <v/>
      </c>
      <c r="Q17">
        <f>IF(H17&gt;P17,"Above breed range","Within/under breed range")</f>
        <v/>
      </c>
      <c r="R17">
        <f>D17&amp;" | "&amp;E17</f>
        <v/>
      </c>
    </row>
    <row r="18">
      <c r="A18" t="n">
        <v>1017</v>
      </c>
      <c r="B18" s="26" t="n">
        <v>46114</v>
      </c>
      <c r="C18" t="inlineStr">
        <is>
          <t>09:00</t>
        </is>
      </c>
      <c r="D18" t="inlineStr">
        <is>
          <t>Buddy</t>
        </is>
      </c>
      <c r="E18" t="inlineStr">
        <is>
          <t>Sarah Perry</t>
        </is>
      </c>
      <c r="F18" t="inlineStr">
        <is>
          <t>sarah.perry@example.com</t>
        </is>
      </c>
      <c r="G18" t="inlineStr">
        <is>
          <t>Beagle</t>
        </is>
      </c>
      <c r="H18" s="27" t="n">
        <v>15.1</v>
      </c>
      <c r="I18" t="inlineStr">
        <is>
          <t>Follow-up</t>
        </is>
      </c>
      <c r="J18" t="inlineStr">
        <is>
          <t>Scheduled</t>
        </is>
      </c>
      <c r="K18" t="b">
        <v>1</v>
      </c>
      <c r="L18" s="28" t="n">
        <v>0</v>
      </c>
      <c r="M18" t="inlineStr">
        <is>
          <t>Six-week recheck</t>
        </is>
      </c>
      <c r="N18">
        <f>XLOOKUP(G18,BREED_REFERENCE!$A$2:$A$20,BREED_REFERENCE!$B$2:$B$20,"Breed not found")</f>
        <v/>
      </c>
      <c r="O18" s="27">
        <f>XLOOKUP(G18,BREED_REFERENCE!$A$2:$A$20,BREED_REFERENCE!$D$2:$D$20,"Breed not found")</f>
        <v/>
      </c>
      <c r="P18" s="27">
        <f>XLOOKUP(G18,BREED_REFERENCE!$A$2:$A$20,BREED_REFERENCE!$E$2:$E$20,"Breed not found")</f>
        <v/>
      </c>
      <c r="Q18">
        <f>IF(H18&gt;P18,"Above breed range","Within/under breed range")</f>
        <v/>
      </c>
      <c r="R18">
        <f>D18&amp;" | "&amp;E18</f>
        <v/>
      </c>
    </row>
    <row r="19">
      <c r="A19" t="n">
        <v>1018</v>
      </c>
      <c r="B19" s="26" t="n">
        <v>46114</v>
      </c>
      <c r="C19" t="inlineStr">
        <is>
          <t>09:30</t>
        </is>
      </c>
      <c r="D19" t="inlineStr">
        <is>
          <t>Zeus</t>
        </is>
      </c>
      <c r="E19" t="inlineStr">
        <is>
          <t>Andrew Lee</t>
        </is>
      </c>
      <c r="F19" t="inlineStr">
        <is>
          <t>andrew.lee@example.com</t>
        </is>
      </c>
      <c r="G19" t="inlineStr">
        <is>
          <t>German Shepherd</t>
        </is>
      </c>
      <c r="H19" s="27" t="n">
        <v>39.2</v>
      </c>
      <c r="I19" t="inlineStr">
        <is>
          <t>Vaccination</t>
        </is>
      </c>
      <c r="J19" t="inlineStr">
        <is>
          <t>Completed</t>
        </is>
      </c>
      <c r="K19" t="b">
        <v>1</v>
      </c>
      <c r="L19" s="28" t="n">
        <v>64.91</v>
      </c>
      <c r="N19">
        <f>XLOOKUP(G19,BREED_REFERENCE!$A$2:$A$20,BREED_REFERENCE!$B$2:$B$20,"Breed not found")</f>
        <v/>
      </c>
      <c r="O19" s="27">
        <f>XLOOKUP(G19,BREED_REFERENCE!$A$2:$A$20,BREED_REFERENCE!$D$2:$D$20,"Breed not found")</f>
        <v/>
      </c>
      <c r="P19" s="27">
        <f>XLOOKUP(G19,BREED_REFERENCE!$A$2:$A$20,BREED_REFERENCE!$E$2:$E$20,"Breed not found")</f>
        <v/>
      </c>
      <c r="Q19">
        <f>IF(H19&gt;P19,"Above breed range","Within/under breed range")</f>
        <v/>
      </c>
      <c r="R19">
        <f>D19&amp;" | "&amp;E19</f>
        <v/>
      </c>
    </row>
    <row r="20">
      <c r="A20" t="n">
        <v>1019</v>
      </c>
      <c r="B20" s="26" t="n">
        <v>46114</v>
      </c>
      <c r="C20" t="inlineStr">
        <is>
          <t>10:00</t>
        </is>
      </c>
      <c r="D20" t="inlineStr">
        <is>
          <t>Pumpkin</t>
        </is>
      </c>
      <c r="E20" t="inlineStr">
        <is>
          <t>Patrick Singh</t>
        </is>
      </c>
      <c r="F20" t="inlineStr">
        <is>
          <t>patrick.singh@example.com</t>
        </is>
      </c>
      <c r="G20" t="inlineStr">
        <is>
          <t>Maine Coon</t>
        </is>
      </c>
      <c r="H20" s="27" t="n">
        <v>9.199999999999999</v>
      </c>
      <c r="I20" t="inlineStr">
        <is>
          <t>General Checkup</t>
        </is>
      </c>
      <c r="J20" t="inlineStr">
        <is>
          <t>Completed</t>
        </is>
      </c>
      <c r="K20" t="b">
        <v>1</v>
      </c>
      <c r="L20" s="28" t="n">
        <v>90.29000000000001</v>
      </c>
      <c r="N20">
        <f>XLOOKUP(G20,BREED_REFERENCE!$A$2:$A$20,BREED_REFERENCE!$B$2:$B$20,"Breed not found")</f>
        <v/>
      </c>
      <c r="O20" s="27">
        <f>XLOOKUP(G20,BREED_REFERENCE!$A$2:$A$20,BREED_REFERENCE!$D$2:$D$20,"Breed not found")</f>
        <v/>
      </c>
      <c r="P20" s="27">
        <f>XLOOKUP(G20,BREED_REFERENCE!$A$2:$A$20,BREED_REFERENCE!$E$2:$E$20,"Breed not found")</f>
        <v/>
      </c>
      <c r="Q20">
        <f>IF(H20&gt;P20,"Above breed range","Within/under breed range")</f>
        <v/>
      </c>
      <c r="R20">
        <f>D20&amp;" | "&amp;E20</f>
        <v/>
      </c>
    </row>
    <row r="21">
      <c r="A21" t="n">
        <v>1020</v>
      </c>
      <c r="B21" s="26" t="n">
        <v>46114</v>
      </c>
      <c r="C21" t="inlineStr">
        <is>
          <t>10:30</t>
        </is>
      </c>
      <c r="D21" t="inlineStr">
        <is>
          <t>Shadow</t>
        </is>
      </c>
      <c r="E21" t="inlineStr">
        <is>
          <t>Gregory Lang</t>
        </is>
      </c>
      <c r="F21" t="inlineStr">
        <is>
          <t>gregory.lang@example.com</t>
        </is>
      </c>
      <c r="G21" t="inlineStr">
        <is>
          <t>Border Collie</t>
        </is>
      </c>
      <c r="H21" s="27" t="n">
        <v>19.1</v>
      </c>
      <c r="I21" t="inlineStr">
        <is>
          <t>Vaccination</t>
        </is>
      </c>
      <c r="J21" t="inlineStr">
        <is>
          <t>Completed</t>
        </is>
      </c>
      <c r="K21" t="b">
        <v>0</v>
      </c>
      <c r="L21" s="28" t="n">
        <v>64.91</v>
      </c>
      <c r="M21" t="inlineStr">
        <is>
          <t>Reminder not sent</t>
        </is>
      </c>
      <c r="N21">
        <f>XLOOKUP(G21,BREED_REFERENCE!$A$2:$A$20,BREED_REFERENCE!$B$2:$B$20,"Breed not found")</f>
        <v/>
      </c>
      <c r="O21" s="27">
        <f>XLOOKUP(G21,BREED_REFERENCE!$A$2:$A$20,BREED_REFERENCE!$D$2:$D$20,"Breed not found")</f>
        <v/>
      </c>
      <c r="P21" s="27">
        <f>XLOOKUP(G21,BREED_REFERENCE!$A$2:$A$20,BREED_REFERENCE!$E$2:$E$20,"Breed not found")</f>
        <v/>
      </c>
      <c r="Q21">
        <f>IF(H21&gt;P21,"Above breed range","Within/under breed range")</f>
        <v/>
      </c>
      <c r="R21">
        <f>D21&amp;" | "&amp;E21</f>
        <v/>
      </c>
    </row>
    <row r="22">
      <c r="A22" t="n">
        <v>1021</v>
      </c>
      <c r="B22" s="26" t="n">
        <v>46114</v>
      </c>
      <c r="C22" t="inlineStr">
        <is>
          <t>11:00</t>
        </is>
      </c>
      <c r="D22" t="inlineStr">
        <is>
          <t>Peanut</t>
        </is>
      </c>
      <c r="E22" t="inlineStr">
        <is>
          <t>Lisa White</t>
        </is>
      </c>
      <c r="F22" t="inlineStr">
        <is>
          <t>lisa.white@example.com</t>
        </is>
      </c>
      <c r="G22" t="inlineStr">
        <is>
          <t>Pug</t>
        </is>
      </c>
      <c r="H22" s="27" t="n">
        <v>8.9</v>
      </c>
      <c r="I22" t="inlineStr">
        <is>
          <t>General Checkup</t>
        </is>
      </c>
      <c r="J22" t="inlineStr">
        <is>
          <t>Completed</t>
        </is>
      </c>
      <c r="K22" t="b">
        <v>1</v>
      </c>
      <c r="L22" s="28" t="n">
        <v>90.29000000000001</v>
      </c>
      <c r="N22">
        <f>XLOOKUP(G22,BREED_REFERENCE!$A$2:$A$20,BREED_REFERENCE!$B$2:$B$20,"Breed not found")</f>
        <v/>
      </c>
      <c r="O22" s="27">
        <f>XLOOKUP(G22,BREED_REFERENCE!$A$2:$A$20,BREED_REFERENCE!$D$2:$D$20,"Breed not found")</f>
        <v/>
      </c>
      <c r="P22" s="27">
        <f>XLOOKUP(G22,BREED_REFERENCE!$A$2:$A$20,BREED_REFERENCE!$E$2:$E$20,"Breed not found")</f>
        <v/>
      </c>
      <c r="Q22">
        <f>IF(H22&gt;P22,"Above breed range","Within/under breed range")</f>
        <v/>
      </c>
      <c r="R22">
        <f>D22&amp;" | "&amp;E22</f>
        <v/>
      </c>
    </row>
    <row r="23">
      <c r="B23" s="26" t="n"/>
      <c r="H23" s="27" t="n"/>
      <c r="L23" s="28" t="n"/>
      <c r="O23" s="27" t="n"/>
      <c r="P23" s="27" t="n"/>
    </row>
    <row r="24">
      <c r="A24" t="n">
        <v>1023</v>
      </c>
      <c r="B24" s="26" t="n">
        <v>46114</v>
      </c>
      <c r="C24" t="inlineStr">
        <is>
          <t>12:00</t>
        </is>
      </c>
      <c r="D24" t="inlineStr">
        <is>
          <t>Apollo</t>
        </is>
      </c>
      <c r="E24" t="inlineStr">
        <is>
          <t>Richard Bowman</t>
        </is>
      </c>
      <c r="F24" t="inlineStr">
        <is>
          <t>richard.bowman@example.com</t>
        </is>
      </c>
      <c r="G24" t="inlineStr">
        <is>
          <t>Labrador Retriever</t>
        </is>
      </c>
      <c r="H24" s="27" t="n">
        <v>28</v>
      </c>
      <c r="I24" t="inlineStr">
        <is>
          <t>Dental Cleaning</t>
        </is>
      </c>
      <c r="J24" t="inlineStr">
        <is>
          <t>Completed</t>
        </is>
      </c>
      <c r="K24" t="b">
        <v>1</v>
      </c>
      <c r="L24" s="28" t="n">
        <v>123.32</v>
      </c>
      <c r="N24">
        <f>XLOOKUP(G24,BREED_REFERENCE!$A$2:$A$20,BREED_REFERENCE!$B$2:$B$20,"Breed not found")</f>
        <v/>
      </c>
      <c r="O24" s="27">
        <f>XLOOKUP(G24,BREED_REFERENCE!$A$2:$A$20,BREED_REFERENCE!$D$2:$D$20,"Breed not found")</f>
        <v/>
      </c>
      <c r="P24" s="27">
        <f>XLOOKUP(G24,BREED_REFERENCE!$A$2:$A$20,BREED_REFERENCE!$E$2:$E$20,"Breed not found")</f>
        <v/>
      </c>
      <c r="Q24">
        <f>IF(H24&gt;P24,"Above breed range","Within/under breed range")</f>
        <v/>
      </c>
      <c r="R24">
        <f>D24&amp;" | "&amp;E24</f>
        <v/>
      </c>
    </row>
    <row r="25">
      <c r="A25" t="n">
        <v>1024</v>
      </c>
      <c r="B25" s="26" t="n">
        <v>46114</v>
      </c>
      <c r="C25" t="inlineStr">
        <is>
          <t>12:30</t>
        </is>
      </c>
      <c r="D25" t="inlineStr">
        <is>
          <t>Coco</t>
        </is>
      </c>
      <c r="E25" t="inlineStr">
        <is>
          <t>Alex Rivera</t>
        </is>
      </c>
      <c r="F25" t="inlineStr">
        <is>
          <t>alex.rivera@example.com</t>
        </is>
      </c>
      <c r="G25" t="inlineStr">
        <is>
          <t>Poodle</t>
        </is>
      </c>
      <c r="H25" s="27" t="n">
        <v>11.4</v>
      </c>
      <c r="I25" t="inlineStr">
        <is>
          <t>Follow-up</t>
        </is>
      </c>
      <c r="J25" t="inlineStr">
        <is>
          <t>Scheduled</t>
        </is>
      </c>
      <c r="K25" t="b">
        <v>1</v>
      </c>
      <c r="L25" s="28" t="n">
        <v>0</v>
      </c>
      <c r="M25" t="inlineStr">
        <is>
          <t>Repeat visit for Coco</t>
        </is>
      </c>
      <c r="N25">
        <f>XLOOKUP(G25,BREED_REFERENCE!$A$2:$A$20,BREED_REFERENCE!$B$2:$B$20,"Breed not found")</f>
        <v/>
      </c>
      <c r="O25" s="27">
        <f>XLOOKUP(G25,BREED_REFERENCE!$A$2:$A$20,BREED_REFERENCE!$D$2:$D$20,"Breed not found")</f>
        <v/>
      </c>
      <c r="P25" s="27">
        <f>XLOOKUP(G25,BREED_REFERENCE!$A$2:$A$20,BREED_REFERENCE!$E$2:$E$20,"Breed not found")</f>
        <v/>
      </c>
      <c r="Q25">
        <f>IF(H25&gt;P25,"Above breed range","Within/under breed range")</f>
        <v/>
      </c>
      <c r="R25">
        <f>D25&amp;" | "&amp;E25</f>
        <v/>
      </c>
    </row>
    <row r="26">
      <c r="A26" s="3" t="n">
        <v>1025</v>
      </c>
      <c r="B26" s="29" t="n">
        <v>46114</v>
      </c>
      <c r="C26" s="3" t="inlineStr">
        <is>
          <t>13:00</t>
        </is>
      </c>
      <c r="D26" s="3" t="inlineStr">
        <is>
          <t>Maple</t>
        </is>
      </c>
      <c r="E26" s="3" t="inlineStr">
        <is>
          <t>Priya Shah</t>
        </is>
      </c>
      <c r="F26" s="3" t="inlineStr">
        <is>
          <t>priya.shah@example.com</t>
        </is>
      </c>
      <c r="G26" s="3" t="inlineStr">
        <is>
          <t>Beagle</t>
        </is>
      </c>
      <c r="H26" s="30" t="n">
        <v>16</v>
      </c>
      <c r="I26" s="3" t="inlineStr">
        <is>
          <t>Vaccination</t>
        </is>
      </c>
      <c r="J26" s="3" t="inlineStr">
        <is>
          <t>Scheduled</t>
        </is>
      </c>
      <c r="K26" s="3" t="b">
        <v>1</v>
      </c>
      <c r="L26" s="31" t="n">
        <v>64.91</v>
      </c>
      <c r="M26" s="3" t="inlineStr">
        <is>
          <t>New appointment added during lab</t>
        </is>
      </c>
      <c r="N26" s="3">
        <f>XLOOKUP(G26,BREED_REFERENCE!$A$2:$A$20,BREED_REFERENCE!$B$2:$B$20,"Breed not found")</f>
        <v/>
      </c>
      <c r="O26" s="30">
        <f>XLOOKUP(G26,BREED_REFERENCE!$A$2:$A$20,BREED_REFERENCE!$D$2:$D$20,"Breed not found")</f>
        <v/>
      </c>
      <c r="P26" s="30">
        <f>XLOOKUP(G26,BREED_REFERENCE!$A$2:$A$20,BREED_REFERENCE!$E$2:$E$20,"Breed not found")</f>
        <v/>
      </c>
      <c r="Q26" s="3">
        <f>IF(H26&gt;P26,"Above breed range","Within/under breed range")</f>
        <v/>
      </c>
      <c r="R26" s="3">
        <f>D26&amp;" | "&amp;E26</f>
        <v/>
      </c>
    </row>
    <row r="27">
      <c r="A27" s="3" t="n">
        <v>1026</v>
      </c>
      <c r="B27" s="29" t="n"/>
      <c r="C27" s="3" t="n"/>
      <c r="D27" s="3" t="inlineStr">
        <is>
          <t>Rex</t>
        </is>
      </c>
      <c r="E27" s="3" t="inlineStr">
        <is>
          <t>Morgan Pugh</t>
        </is>
      </c>
      <c r="F27" s="3" t="inlineStr">
        <is>
          <t>morgan.pugh@example.com</t>
        </is>
      </c>
      <c r="G27" s="3" t="inlineStr">
        <is>
          <t>Mixed Breed</t>
        </is>
      </c>
      <c r="H27" s="30" t="n">
        <v>23</v>
      </c>
      <c r="I27" s="3" t="n"/>
      <c r="J27" s="3" t="n"/>
      <c r="K27" s="3" t="n"/>
      <c r="L27" s="31" t="n"/>
      <c r="M27" s="3" t="inlineStr">
        <is>
          <t>Pet exists, but no appointment yet</t>
        </is>
      </c>
      <c r="N27" s="3">
        <f>XLOOKUP(G27,BREED_REFERENCE!$A$2:$A$20,BREED_REFERENCE!$B$2:$B$20,"Breed not found")</f>
        <v/>
      </c>
      <c r="O27" s="30">
        <f>XLOOKUP(G27,BREED_REFERENCE!$A$2:$A$20,BREED_REFERENCE!$D$2:$D$20,"Breed not found")</f>
        <v/>
      </c>
      <c r="P27" s="30">
        <f>XLOOKUP(G27,BREED_REFERENCE!$A$2:$A$20,BREED_REFERENCE!$E$2:$E$20,"Breed not found")</f>
        <v/>
      </c>
      <c r="Q27" s="3">
        <f>IF(H27&gt;P27,"Above breed range","Within/under breed range")</f>
        <v/>
      </c>
      <c r="R27" s="3">
        <f>D27&amp;" | "&amp;E27</f>
        <v/>
      </c>
    </row>
    <row r="28">
      <c r="B28" s="26" t="n"/>
      <c r="H28" s="27" t="n"/>
      <c r="L28" s="28" t="n"/>
      <c r="O28" s="27" t="n"/>
      <c r="P28" s="27" t="n"/>
    </row>
    <row r="29">
      <c r="B29" s="26" t="n"/>
      <c r="H29" s="27" t="n"/>
      <c r="L29" s="28" t="n"/>
      <c r="O29" s="27" t="n"/>
      <c r="P29" s="27" t="n"/>
    </row>
    <row r="30">
      <c r="B30" s="26" t="n"/>
      <c r="H30" s="27" t="n"/>
      <c r="L30" s="28" t="n"/>
      <c r="O30" s="27" t="n"/>
      <c r="P30" s="27" t="n"/>
    </row>
  </sheetData>
  <conditionalFormatting sqref="Q2:Q100">
    <cfRule type="expression" priority="1" dxfId="0">
      <formula>Q2="Above breed range"</formula>
    </cfRule>
  </conditionalFormatting>
  <dataValidations count="4">
    <dataValidation sqref="G2:G100" showDropDown="0" showInputMessage="0" showErrorMessage="0" allowBlank="0" type="list">
      <formula1>BREED_REFERENCE!$A$2:$A$20</formula1>
    </dataValidation>
    <dataValidation sqref="H2:H100" showDropDown="0" showInputMessage="0" showErrorMessage="0" allowBlank="0" type="decimal" operator="between">
      <formula1>0</formula1>
      <formula2>80</formula2>
    </dataValidation>
    <dataValidation sqref="J2:J100" showDropDown="0" showInputMessage="0" showErrorMessage="0" allowBlank="0" type="list">
      <formula1>"Completed,Scheduled,No-show,Canceled"</formula1>
    </dataValidation>
    <dataValidation sqref="K2:K1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14" customWidth="1" style="1" min="2" max="2"/>
    <col width="14" customWidth="1" style="1" min="3" max="3"/>
    <col width="20" customWidth="1" style="1" min="4" max="4"/>
    <col width="22" customWidth="1" style="1" min="5" max="5"/>
  </cols>
  <sheetData>
    <row r="1">
      <c r="A1" s="8" t="inlineStr">
        <is>
          <t>BreedName</t>
        </is>
      </c>
      <c r="B1" s="8" t="inlineStr">
        <is>
          <t>AnimalType</t>
        </is>
      </c>
      <c r="C1" s="8" t="inlineStr">
        <is>
          <t>SizeCategory</t>
        </is>
      </c>
      <c r="D1" s="8" t="inlineStr">
        <is>
          <t>AvgHealthyWeightKg</t>
        </is>
      </c>
      <c r="E1" s="8" t="inlineStr">
        <is>
          <t>OverweightThresholdKg</t>
        </is>
      </c>
    </row>
    <row r="2">
      <c r="A2" t="inlineStr">
        <is>
          <t>Beagle</t>
        </is>
      </c>
      <c r="B2" t="inlineStr">
        <is>
          <t>Dog</t>
        </is>
      </c>
      <c r="C2" t="inlineStr">
        <is>
          <t>Medium</t>
        </is>
      </c>
      <c r="D2" t="n">
        <v>12</v>
      </c>
      <c r="E2" t="n">
        <v>14.4</v>
      </c>
    </row>
    <row r="3">
      <c r="A3" t="inlineStr">
        <is>
          <t>Siamese</t>
        </is>
      </c>
      <c r="B3" t="inlineStr">
        <is>
          <t>Cat</t>
        </is>
      </c>
      <c r="C3" t="inlineStr">
        <is>
          <t>Medium</t>
        </is>
      </c>
      <c r="D3" t="n">
        <v>4.5</v>
      </c>
      <c r="E3" t="n">
        <v>5.4</v>
      </c>
    </row>
    <row r="4">
      <c r="A4" t="inlineStr">
        <is>
          <t>Labrador Retriever</t>
        </is>
      </c>
      <c r="B4" t="inlineStr">
        <is>
          <t>Dog</t>
        </is>
      </c>
      <c r="C4" t="inlineStr">
        <is>
          <t>Large</t>
        </is>
      </c>
      <c r="D4" t="n">
        <v>30</v>
      </c>
      <c r="E4" t="n">
        <v>36</v>
      </c>
    </row>
    <row r="5">
      <c r="A5" t="inlineStr">
        <is>
          <t>Yorkshire Terrier</t>
        </is>
      </c>
      <c r="B5" t="inlineStr">
        <is>
          <t>Dog</t>
        </is>
      </c>
      <c r="C5" t="inlineStr">
        <is>
          <t>Small</t>
        </is>
      </c>
      <c r="D5" t="n">
        <v>3.2</v>
      </c>
      <c r="E5" t="n">
        <v>3.84</v>
      </c>
    </row>
    <row r="6">
      <c r="A6" t="inlineStr">
        <is>
          <t>Maine Coon</t>
        </is>
      </c>
      <c r="B6" t="inlineStr">
        <is>
          <t>Cat</t>
        </is>
      </c>
      <c r="C6" t="inlineStr">
        <is>
          <t>Large</t>
        </is>
      </c>
      <c r="D6" t="n">
        <v>7.5</v>
      </c>
      <c r="E6" t="n">
        <v>9</v>
      </c>
    </row>
    <row r="7">
      <c r="A7" t="inlineStr">
        <is>
          <t>Poodle</t>
        </is>
      </c>
      <c r="B7" t="inlineStr">
        <is>
          <t>Dog</t>
        </is>
      </c>
      <c r="C7" t="inlineStr">
        <is>
          <t>Medium</t>
        </is>
      </c>
      <c r="D7" t="n">
        <v>10</v>
      </c>
      <c r="E7" t="n">
        <v>12</v>
      </c>
    </row>
    <row r="8">
      <c r="A8" t="inlineStr">
        <is>
          <t>Ragdoll</t>
        </is>
      </c>
      <c r="B8" t="inlineStr">
        <is>
          <t>Cat</t>
        </is>
      </c>
      <c r="C8" t="inlineStr">
        <is>
          <t>Medium</t>
        </is>
      </c>
      <c r="D8" t="n">
        <v>6</v>
      </c>
      <c r="E8" t="n">
        <v>7.2</v>
      </c>
    </row>
    <row r="9">
      <c r="A9" t="inlineStr">
        <is>
          <t>Dachshund</t>
        </is>
      </c>
      <c r="B9" t="inlineStr">
        <is>
          <t>Dog</t>
        </is>
      </c>
      <c r="C9" t="inlineStr">
        <is>
          <t>Small</t>
        </is>
      </c>
      <c r="D9" t="n">
        <v>8</v>
      </c>
      <c r="E9" t="n">
        <v>9.6</v>
      </c>
    </row>
    <row r="10">
      <c r="A10" t="inlineStr">
        <is>
          <t>Golden Retriever</t>
        </is>
      </c>
      <c r="B10" t="inlineStr">
        <is>
          <t>Dog</t>
        </is>
      </c>
      <c r="C10" t="inlineStr">
        <is>
          <t>Large</t>
        </is>
      </c>
      <c r="D10" t="n">
        <v>30</v>
      </c>
      <c r="E10" t="n">
        <v>36</v>
      </c>
    </row>
    <row r="11">
      <c r="A11" t="inlineStr">
        <is>
          <t>French Bulldog</t>
        </is>
      </c>
      <c r="B11" t="inlineStr">
        <is>
          <t>Dog</t>
        </is>
      </c>
      <c r="C11" t="inlineStr">
        <is>
          <t>Small</t>
        </is>
      </c>
      <c r="D11" t="n">
        <v>11</v>
      </c>
      <c r="E11" t="n">
        <v>13.2</v>
      </c>
    </row>
    <row r="12">
      <c r="A12" t="inlineStr">
        <is>
          <t>Boxer</t>
        </is>
      </c>
      <c r="B12" t="inlineStr">
        <is>
          <t>Dog</t>
        </is>
      </c>
      <c r="C12" t="inlineStr">
        <is>
          <t>Large</t>
        </is>
      </c>
      <c r="D12" t="n">
        <v>28</v>
      </c>
      <c r="E12" t="n">
        <v>33.6</v>
      </c>
    </row>
    <row r="13">
      <c r="A13" t="inlineStr">
        <is>
          <t>Bulldog</t>
        </is>
      </c>
      <c r="B13" t="inlineStr">
        <is>
          <t>Dog</t>
        </is>
      </c>
      <c r="C13" t="inlineStr">
        <is>
          <t>Medium</t>
        </is>
      </c>
      <c r="D13" t="n">
        <v>22</v>
      </c>
      <c r="E13" t="n">
        <v>26.4</v>
      </c>
    </row>
    <row r="14">
      <c r="A14" t="inlineStr">
        <is>
          <t>Persian</t>
        </is>
      </c>
      <c r="B14" t="inlineStr">
        <is>
          <t>Cat</t>
        </is>
      </c>
      <c r="C14" t="inlineStr">
        <is>
          <t>Small</t>
        </is>
      </c>
      <c r="D14" t="n">
        <v>4.5</v>
      </c>
      <c r="E14" t="n">
        <v>5.4</v>
      </c>
    </row>
    <row r="15">
      <c r="A15" t="inlineStr">
        <is>
          <t>Shih Tzu</t>
        </is>
      </c>
      <c r="B15" t="inlineStr">
        <is>
          <t>Dog</t>
        </is>
      </c>
      <c r="C15" t="inlineStr">
        <is>
          <t>Small</t>
        </is>
      </c>
      <c r="D15" t="n">
        <v>6</v>
      </c>
      <c r="E15" t="n">
        <v>7.2</v>
      </c>
    </row>
    <row r="16">
      <c r="A16" t="inlineStr">
        <is>
          <t>German Shepherd</t>
        </is>
      </c>
      <c r="B16" t="inlineStr">
        <is>
          <t>Dog</t>
        </is>
      </c>
      <c r="C16" t="inlineStr">
        <is>
          <t>Large</t>
        </is>
      </c>
      <c r="D16" t="n">
        <v>32</v>
      </c>
      <c r="E16" t="n">
        <v>38.4</v>
      </c>
    </row>
    <row r="17">
      <c r="A17" t="inlineStr">
        <is>
          <t>Border Collie</t>
        </is>
      </c>
      <c r="B17" t="inlineStr">
        <is>
          <t>Dog</t>
        </is>
      </c>
      <c r="C17" t="inlineStr">
        <is>
          <t>Medium</t>
        </is>
      </c>
      <c r="D17" t="n">
        <v>18</v>
      </c>
      <c r="E17" t="n">
        <v>21.6</v>
      </c>
    </row>
    <row r="18">
      <c r="A18" t="inlineStr">
        <is>
          <t>Pug</t>
        </is>
      </c>
      <c r="B18" t="inlineStr">
        <is>
          <t>Dog</t>
        </is>
      </c>
      <c r="C18" t="inlineStr">
        <is>
          <t>Small</t>
        </is>
      </c>
      <c r="D18" t="n">
        <v>7</v>
      </c>
      <c r="E18" t="n">
        <v>8.4</v>
      </c>
    </row>
    <row r="19">
      <c r="A19" t="inlineStr">
        <is>
          <t>Sphynx</t>
        </is>
      </c>
      <c r="B19" t="inlineStr">
        <is>
          <t>Cat</t>
        </is>
      </c>
      <c r="C19" t="inlineStr">
        <is>
          <t>Small</t>
        </is>
      </c>
      <c r="D19" t="n">
        <v>4</v>
      </c>
      <c r="E19" t="n">
        <v>4.8</v>
      </c>
    </row>
    <row r="20">
      <c r="A20" t="inlineStr">
        <is>
          <t>Mixed Breed</t>
        </is>
      </c>
      <c r="B20" t="inlineStr">
        <is>
          <t>Dog</t>
        </is>
      </c>
      <c r="C20" t="inlineStr">
        <is>
          <t>Medium</t>
        </is>
      </c>
      <c r="D20" t="n">
        <v>20</v>
      </c>
      <c r="E20" t="n">
        <v>24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42" customWidth="1" style="1" min="2" max="2"/>
    <col width="28" customWidth="1" style="1" min="3" max="3"/>
    <col width="55" customWidth="1" style="1" min="4" max="4"/>
  </cols>
  <sheetData>
    <row r="1">
      <c r="A1" s="8" t="inlineStr">
        <is>
          <t>FieldName</t>
        </is>
      </c>
      <c r="B1" s="8" t="inlineStr">
        <is>
          <t>Meaning</t>
        </is>
      </c>
      <c r="C1" s="8" t="inlineStr">
        <is>
          <t>Intended Kind of Data</t>
        </is>
      </c>
      <c r="D1" s="8" t="inlineStr">
        <is>
          <t>Why It Matters</t>
        </is>
      </c>
    </row>
    <row r="2">
      <c r="A2" t="inlineStr">
        <is>
          <t>AppointmentID</t>
        </is>
      </c>
      <c r="B2" t="inlineStr">
        <is>
          <t>Identifies one appointment record</t>
        </is>
      </c>
      <c r="C2" t="inlineStr">
        <is>
          <t>Identifier / whole number</t>
        </is>
      </c>
      <c r="D2" t="inlineStr">
        <is>
          <t>Should not be averaged; distinguishes one row from another</t>
        </is>
      </c>
    </row>
    <row r="3">
      <c r="A3" t="inlineStr">
        <is>
          <t>AppointmentDate</t>
        </is>
      </c>
      <c r="B3" t="inlineStr">
        <is>
          <t>Date of the appointment</t>
        </is>
      </c>
      <c r="C3" t="inlineStr">
        <is>
          <t>Date</t>
        </is>
      </c>
      <c r="D3" t="inlineStr">
        <is>
          <t>Supports date filters and chronological sorting</t>
        </is>
      </c>
    </row>
    <row r="4">
      <c r="A4" t="inlineStr">
        <is>
          <t>AppointmentTime</t>
        </is>
      </c>
      <c r="B4" t="inlineStr">
        <is>
          <t>Time of appointment</t>
        </is>
      </c>
      <c r="C4" t="inlineStr">
        <is>
          <t>Time / text</t>
        </is>
      </c>
      <c r="D4" t="inlineStr">
        <is>
          <t>Supports schedule order and daily workflow</t>
        </is>
      </c>
    </row>
    <row r="5">
      <c r="A5" t="inlineStr">
        <is>
          <t>PetName</t>
        </is>
      </c>
      <c r="B5" t="inlineStr">
        <is>
          <t>Pet's name</t>
        </is>
      </c>
      <c r="C5" t="inlineStr">
        <is>
          <t>Text / categorical label</t>
        </is>
      </c>
      <c r="D5" t="inlineStr">
        <is>
          <t>Can repeat across different pets; not a stable identifier</t>
        </is>
      </c>
    </row>
    <row r="6">
      <c r="A6" t="inlineStr">
        <is>
          <t>OwnerName</t>
        </is>
      </c>
      <c r="B6" t="inlineStr">
        <is>
          <t>Owner's full name</t>
        </is>
      </c>
      <c r="C6" t="inlineStr">
        <is>
          <t>Text / categorical label</t>
        </is>
      </c>
      <c r="D6" t="inlineStr">
        <is>
          <t>Can repeat and may change; not a perfect identifier</t>
        </is>
      </c>
    </row>
    <row r="7">
      <c r="A7" t="inlineStr">
        <is>
          <t>OwnerEmail</t>
        </is>
      </c>
      <c r="B7" t="inlineStr">
        <is>
          <t>Owner contact email</t>
        </is>
      </c>
      <c r="C7" t="inlineStr">
        <is>
          <t>Text</t>
        </is>
      </c>
      <c r="D7" t="inlineStr">
        <is>
          <t>Repeated in a flat file, creating update risk</t>
        </is>
      </c>
    </row>
    <row r="8">
      <c r="A8" t="inlineStr">
        <is>
          <t>BreedName</t>
        </is>
      </c>
      <c r="B8" t="inlineStr">
        <is>
          <t>Pet breed</t>
        </is>
      </c>
      <c r="C8" t="inlineStr">
        <is>
          <t>Categorical text</t>
        </is>
      </c>
      <c r="D8" t="inlineStr">
        <is>
          <t>Used for grouping and lookup to breed reference</t>
        </is>
      </c>
    </row>
    <row r="9">
      <c r="A9" t="inlineStr">
        <is>
          <t>WeightKg</t>
        </is>
      </c>
      <c r="B9" t="inlineStr">
        <is>
          <t>Pet weight in kilograms</t>
        </is>
      </c>
      <c r="C9" t="inlineStr">
        <is>
          <t>Ratio numeric</t>
        </is>
      </c>
      <c r="D9" t="inlineStr">
        <is>
          <t>Can be averaged, compared, and used in calculations</t>
        </is>
      </c>
    </row>
    <row r="10">
      <c r="A10" t="inlineStr">
        <is>
          <t>ServiceType</t>
        </is>
      </c>
      <c r="B10" t="inlineStr">
        <is>
          <t>Type of service scheduled</t>
        </is>
      </c>
      <c r="C10" t="inlineStr">
        <is>
          <t>Categorical text</t>
        </is>
      </c>
      <c r="D10" t="inlineStr">
        <is>
          <t>Used for grouping and operational summaries</t>
        </is>
      </c>
    </row>
    <row r="11">
      <c r="A11" t="inlineStr">
        <is>
          <t>AppointmentStatus</t>
        </is>
      </c>
      <c r="B11" t="inlineStr">
        <is>
          <t>Status of visit</t>
        </is>
      </c>
      <c r="C11" t="inlineStr">
        <is>
          <t>Categorical text</t>
        </is>
      </c>
      <c r="D11" t="inlineStr">
        <is>
          <t>Completed, Scheduled, No-show</t>
        </is>
      </c>
    </row>
    <row r="12">
      <c r="A12" t="inlineStr">
        <is>
          <t>ReminderSent</t>
        </is>
      </c>
      <c r="B12" t="inlineStr">
        <is>
          <t>Whether reminder was sent</t>
        </is>
      </c>
      <c r="C12" t="inlineStr">
        <is>
          <t>Boolean</t>
        </is>
      </c>
      <c r="D12" t="inlineStr">
        <is>
          <t>Supports no-show and communication analysis</t>
        </is>
      </c>
    </row>
    <row r="13">
      <c r="A13" t="inlineStr">
        <is>
          <t>PaymentAmount</t>
        </is>
      </c>
      <c r="B13" t="inlineStr">
        <is>
          <t>Amount charged for visit</t>
        </is>
      </c>
      <c r="C13" t="inlineStr">
        <is>
          <t>Ratio numeric / currency</t>
        </is>
      </c>
      <c r="D13" t="inlineStr">
        <is>
          <t>Can be summed and averaged</t>
        </is>
      </c>
    </row>
    <row r="14">
      <c r="A14" t="inlineStr">
        <is>
          <t>AnimalType</t>
        </is>
      </c>
      <c r="B14" t="inlineStr">
        <is>
          <t>Dog or Cat</t>
        </is>
      </c>
      <c r="C14" t="inlineStr">
        <is>
          <t>Categorical text from lookup</t>
        </is>
      </c>
      <c r="D14" t="inlineStr">
        <is>
          <t>Should be brought from BREED_REFERENCE</t>
        </is>
      </c>
    </row>
    <row r="15">
      <c r="A15" t="inlineStr">
        <is>
          <t>AvgHealthyWeightKg</t>
        </is>
      </c>
      <c r="B15" t="inlineStr">
        <is>
          <t>Typical healthy weight for breed</t>
        </is>
      </c>
      <c r="C15" t="inlineStr">
        <is>
          <t>Numeric from lookup</t>
        </is>
      </c>
      <c r="D15" t="inlineStr">
        <is>
          <t>Needed for weight comparison</t>
        </is>
      </c>
    </row>
    <row r="16">
      <c r="A16" t="inlineStr">
        <is>
          <t>OverweightThresholdKg</t>
        </is>
      </c>
      <c r="B16" t="inlineStr">
        <is>
          <t>Threshold used for flagging</t>
        </is>
      </c>
      <c r="C16" t="inlineStr">
        <is>
          <t>Numeric from lookup</t>
        </is>
      </c>
      <c r="D16" t="inlineStr">
        <is>
          <t>Example rule: 120% of average breed weight</t>
        </is>
      </c>
    </row>
    <row r="17">
      <c r="A17" t="inlineStr">
        <is>
          <t>WeightStatus</t>
        </is>
      </c>
      <c r="B17" t="inlineStr">
        <is>
          <t>Weight flag from formula</t>
        </is>
      </c>
      <c r="C17" t="inlineStr">
        <is>
          <t>Categorical output</t>
        </is>
      </c>
      <c r="D17" t="inlineStr">
        <is>
          <t>Shows formula-driven classification</t>
        </is>
      </c>
    </row>
    <row r="18">
      <c r="A18" t="inlineStr">
        <is>
          <t>PetOwnerKey</t>
        </is>
      </c>
      <c r="B18" t="inlineStr">
        <is>
          <t>Temporary helper key</t>
        </is>
      </c>
      <c r="C18" t="inlineStr">
        <is>
          <t>Text identifier</t>
        </is>
      </c>
      <c r="D18" t="inlineStr">
        <is>
          <t>Helps identify the same pet-owner pair in a flat file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Query Area</t>
        </is>
      </c>
    </row>
    <row r="3">
      <c r="A3" s="17" t="inlineStr">
        <is>
          <t>Step 8: enter the FILTER formula in A5.</t>
        </is>
      </c>
    </row>
    <row r="4">
      <c r="A4" s="17" t="inlineStr">
        <is>
          <t>Use a deliberately fixed range first to demonstrate query fragility.</t>
        </is>
      </c>
    </row>
    <row r="5">
      <c r="A5" s="17">
        <f>FILTER(APPOINTMENTS_FLAT!A2:Q25, APPOINTMENTS_FLAT!Q2:Q25="Above breed range")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24" customWidth="1" style="1" min="2" max="2"/>
    <col width="22" customWidth="1" style="1" min="3" max="3"/>
  </cols>
  <sheetData>
    <row r="1">
      <c r="A1" s="32" t="inlineStr">
        <is>
          <t>Pivot Summary</t>
        </is>
      </c>
    </row>
    <row r="2"/>
    <row r="3">
      <c r="A3" s="33" t="inlineStr">
        <is>
          <t>AnimalType</t>
        </is>
      </c>
      <c r="B3" s="33" t="inlineStr">
        <is>
          <t>Count of AppointmentID</t>
        </is>
      </c>
      <c r="C3" s="33" t="inlineStr">
        <is>
          <t>Average of WeightKg</t>
        </is>
      </c>
    </row>
    <row r="4">
      <c r="A4" s="34" t="inlineStr">
        <is>
          <t>Cat</t>
        </is>
      </c>
      <c r="B4" s="35" t="n">
        <v>6</v>
      </c>
      <c r="C4" s="35" t="n">
        <v>6.2</v>
      </c>
    </row>
    <row r="5">
      <c r="A5" s="34" t="inlineStr">
        <is>
          <t>Dog</t>
        </is>
      </c>
      <c r="B5" s="35" t="n">
        <v>18</v>
      </c>
      <c r="C5" s="35" t="n">
        <v>18.3</v>
      </c>
    </row>
    <row r="7">
      <c r="A7" t="inlineStr">
        <is>
          <t>Snapshot note</t>
        </is>
      </c>
      <c r="B7" s="17" t="inlineStr">
        <is>
          <t>Starter-data snapshot created before Maple, Rex, or Angel deletion.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2026-05-24T05:45:37Z</dcterms:created>
  <dcterms:modified xmlns:dcterms="http://purl.org/dc/terms/" xmlns:xsi="http://www.w3.org/2001/XMLSchema-instance" xsi:type="dcterms:W3CDTF">2026-05-24T05:45:37Z</dcterms:modified>
</cp:coreProperties>
</file>